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e8727ae7c60636f/Hausbauen/Stockwerkeigentum_Finanzierung/"/>
    </mc:Choice>
  </mc:AlternateContent>
  <xr:revisionPtr revIDLastSave="55" documentId="8_{B02F2016-3670-4428-955E-A73DCA3C2310}" xr6:coauthVersionLast="47" xr6:coauthVersionMax="47" xr10:uidLastSave="{5B427821-AD66-43FA-A713-1037B4EE90F4}"/>
  <bookViews>
    <workbookView xWindow="-38520" yWindow="1815" windowWidth="38640" windowHeight="15720" activeTab="1" xr2:uid="{1B3EC7C6-3D1F-4FF0-AFB6-1398B41104EE}"/>
  </bookViews>
  <sheets>
    <sheet name="Tabelle1" sheetId="1" r:id="rId1"/>
    <sheet name="Tabelle2" sheetId="2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2" l="1"/>
  <c r="E6" i="2" s="1"/>
  <c r="E7" i="2" s="1"/>
  <c r="F5" i="2"/>
  <c r="D5" i="2"/>
  <c r="D6" i="2" s="1"/>
  <c r="D7" i="2" s="1"/>
  <c r="F6" i="2"/>
  <c r="F7" i="2" s="1"/>
  <c r="I3" i="2"/>
  <c r="D9" i="2"/>
  <c r="E9" i="2"/>
  <c r="F9" i="2"/>
  <c r="F34" i="1"/>
  <c r="F36" i="1"/>
  <c r="D4" i="2" s="1"/>
  <c r="G34" i="1"/>
  <c r="G36" i="1"/>
  <c r="E4" i="2" s="1"/>
  <c r="H34" i="1"/>
  <c r="H36" i="1" s="1"/>
  <c r="F4" i="2" s="1"/>
  <c r="I2" i="1"/>
  <c r="H6" i="1" s="1"/>
  <c r="H29" i="1" s="1"/>
  <c r="D10" i="2" l="1"/>
  <c r="D8" i="2"/>
  <c r="F10" i="2"/>
  <c r="F8" i="2"/>
  <c r="E10" i="2"/>
  <c r="E8" i="2"/>
  <c r="H24" i="1"/>
  <c r="H15" i="1"/>
  <c r="H30" i="1"/>
  <c r="H14" i="1"/>
  <c r="H10" i="1"/>
  <c r="H33" i="1"/>
  <c r="H13" i="1"/>
  <c r="H32" i="1"/>
  <c r="H12" i="1"/>
  <c r="H8" i="1"/>
  <c r="H19" i="1"/>
  <c r="H11" i="1"/>
  <c r="H23" i="1"/>
  <c r="H9" i="1"/>
  <c r="G6" i="1"/>
  <c r="H31" i="1"/>
  <c r="H26" i="1"/>
  <c r="H20" i="1"/>
  <c r="F6" i="1"/>
  <c r="D13" i="2" l="1"/>
  <c r="F13" i="2"/>
  <c r="F18" i="2" s="1"/>
  <c r="E13" i="2"/>
  <c r="E18" i="2" s="1"/>
  <c r="I3" i="1"/>
  <c r="F33" i="1"/>
  <c r="F10" i="1"/>
  <c r="F14" i="1"/>
  <c r="F20" i="1"/>
  <c r="F31" i="1"/>
  <c r="F12" i="1"/>
  <c r="F24" i="1"/>
  <c r="F11" i="1"/>
  <c r="F29" i="1"/>
  <c r="F26" i="1"/>
  <c r="F32" i="1"/>
  <c r="F13" i="1"/>
  <c r="F23" i="1"/>
  <c r="F30" i="1"/>
  <c r="F15" i="1"/>
  <c r="F19" i="1"/>
  <c r="F8" i="1"/>
  <c r="F9" i="1"/>
  <c r="G23" i="1"/>
  <c r="G11" i="1"/>
  <c r="G13" i="1"/>
  <c r="G33" i="1"/>
  <c r="G10" i="1"/>
  <c r="G14" i="1"/>
  <c r="G29" i="1"/>
  <c r="G20" i="1"/>
  <c r="G26" i="1"/>
  <c r="G8" i="1"/>
  <c r="G9" i="1"/>
  <c r="G15" i="1"/>
  <c r="G19" i="1"/>
  <c r="G31" i="1"/>
  <c r="G12" i="1"/>
  <c r="G32" i="1"/>
  <c r="G30" i="1"/>
  <c r="G24" i="1"/>
  <c r="E19" i="2" l="1"/>
  <c r="I18" i="2"/>
  <c r="F19" i="2"/>
  <c r="J18" i="2"/>
  <c r="D14" i="2"/>
  <c r="D18" i="2"/>
  <c r="H18" i="2" s="1"/>
  <c r="E14" i="2"/>
  <c r="F14" i="2"/>
  <c r="F20" i="2" l="1"/>
  <c r="J19" i="2"/>
  <c r="E20" i="2"/>
  <c r="I19" i="2"/>
  <c r="D19" i="2"/>
  <c r="H19" i="2" s="1"/>
  <c r="E21" i="2" l="1"/>
  <c r="I20" i="2"/>
  <c r="F21" i="2"/>
  <c r="J20" i="2"/>
  <c r="D20" i="2"/>
  <c r="H20" i="2" s="1"/>
  <c r="F22" i="2" l="1"/>
  <c r="J21" i="2"/>
  <c r="E22" i="2"/>
  <c r="I21" i="2"/>
  <c r="D21" i="2"/>
  <c r="H21" i="2" s="1"/>
  <c r="E23" i="2" l="1"/>
  <c r="I22" i="2"/>
  <c r="F23" i="2"/>
  <c r="J22" i="2"/>
  <c r="D22" i="2"/>
  <c r="H22" i="2" s="1"/>
  <c r="F24" i="2" l="1"/>
  <c r="J23" i="2"/>
  <c r="E24" i="2"/>
  <c r="I23" i="2"/>
  <c r="D23" i="2"/>
  <c r="H23" i="2" s="1"/>
  <c r="E25" i="2" l="1"/>
  <c r="I24" i="2"/>
  <c r="F25" i="2"/>
  <c r="J24" i="2"/>
  <c r="D24" i="2"/>
  <c r="H24" i="2" s="1"/>
  <c r="F26" i="2" l="1"/>
  <c r="J25" i="2"/>
  <c r="E26" i="2"/>
  <c r="I25" i="2"/>
  <c r="D25" i="2"/>
  <c r="H25" i="2" s="1"/>
  <c r="E27" i="2" l="1"/>
  <c r="I26" i="2"/>
  <c r="F27" i="2"/>
  <c r="J26" i="2"/>
  <c r="D26" i="2"/>
  <c r="H26" i="2" s="1"/>
  <c r="F28" i="2" l="1"/>
  <c r="J27" i="2"/>
  <c r="E28" i="2"/>
  <c r="I27" i="2"/>
  <c r="D27" i="2"/>
  <c r="H27" i="2" s="1"/>
  <c r="E29" i="2" l="1"/>
  <c r="I28" i="2"/>
  <c r="F29" i="2"/>
  <c r="J28" i="2"/>
  <c r="D28" i="2"/>
  <c r="H28" i="2" s="1"/>
  <c r="E30" i="2" l="1"/>
  <c r="I29" i="2"/>
  <c r="F30" i="2"/>
  <c r="J29" i="2"/>
  <c r="D29" i="2"/>
  <c r="H29" i="2" s="1"/>
  <c r="F31" i="2" l="1"/>
  <c r="J30" i="2"/>
  <c r="E31" i="2"/>
  <c r="I30" i="2"/>
  <c r="D30" i="2"/>
  <c r="H30" i="2" s="1"/>
  <c r="E32" i="2" l="1"/>
  <c r="I31" i="2"/>
  <c r="F32" i="2"/>
  <c r="J31" i="2"/>
  <c r="D31" i="2"/>
  <c r="H31" i="2" s="1"/>
  <c r="F33" i="2" l="1"/>
  <c r="J32" i="2"/>
  <c r="E33" i="2"/>
  <c r="I32" i="2"/>
  <c r="D32" i="2"/>
  <c r="H32" i="2" s="1"/>
  <c r="E34" i="2" l="1"/>
  <c r="I33" i="2"/>
  <c r="F34" i="2"/>
  <c r="J33" i="2"/>
  <c r="D33" i="2"/>
  <c r="H33" i="2" s="1"/>
  <c r="F35" i="2" l="1"/>
  <c r="J34" i="2"/>
  <c r="E35" i="2"/>
  <c r="I34" i="2"/>
  <c r="D34" i="2"/>
  <c r="H34" i="2" s="1"/>
  <c r="E36" i="2" l="1"/>
  <c r="I35" i="2"/>
  <c r="F36" i="2"/>
  <c r="J35" i="2"/>
  <c r="D35" i="2"/>
  <c r="H35" i="2" s="1"/>
  <c r="F37" i="2" l="1"/>
  <c r="J36" i="2"/>
  <c r="E37" i="2"/>
  <c r="I36" i="2"/>
  <c r="D36" i="2"/>
  <c r="H36" i="2" s="1"/>
  <c r="F38" i="2" l="1"/>
  <c r="J37" i="2"/>
  <c r="E38" i="2"/>
  <c r="I37" i="2"/>
  <c r="D37" i="2"/>
  <c r="H37" i="2" s="1"/>
  <c r="E39" i="2" l="1"/>
  <c r="I38" i="2"/>
  <c r="F39" i="2"/>
  <c r="J38" i="2"/>
  <c r="D38" i="2"/>
  <c r="H38" i="2" s="1"/>
  <c r="F40" i="2" l="1"/>
  <c r="J39" i="2"/>
  <c r="E40" i="2"/>
  <c r="I39" i="2"/>
  <c r="D39" i="2"/>
  <c r="H39" i="2" s="1"/>
  <c r="E41" i="2" l="1"/>
  <c r="I40" i="2"/>
  <c r="F41" i="2"/>
  <c r="J40" i="2"/>
  <c r="D40" i="2"/>
  <c r="H40" i="2" s="1"/>
  <c r="F42" i="2" l="1"/>
  <c r="J41" i="2"/>
  <c r="E42" i="2"/>
  <c r="I41" i="2"/>
  <c r="D41" i="2"/>
  <c r="H41" i="2" s="1"/>
  <c r="E43" i="2" l="1"/>
  <c r="I42" i="2"/>
  <c r="F43" i="2"/>
  <c r="J42" i="2"/>
  <c r="D42" i="2"/>
  <c r="H42" i="2" s="1"/>
  <c r="F44" i="2" l="1"/>
  <c r="J43" i="2"/>
  <c r="E44" i="2"/>
  <c r="I43" i="2"/>
  <c r="D43" i="2"/>
  <c r="H43" i="2" s="1"/>
  <c r="E45" i="2" l="1"/>
  <c r="I44" i="2"/>
  <c r="F45" i="2"/>
  <c r="J44" i="2"/>
  <c r="D44" i="2"/>
  <c r="H44" i="2" s="1"/>
  <c r="E46" i="2" l="1"/>
  <c r="I45" i="2"/>
  <c r="F46" i="2"/>
  <c r="J45" i="2"/>
  <c r="D45" i="2"/>
  <c r="H45" i="2" s="1"/>
  <c r="F47" i="2" l="1"/>
  <c r="J46" i="2"/>
  <c r="E47" i="2"/>
  <c r="I46" i="2"/>
  <c r="D46" i="2"/>
  <c r="H46" i="2" s="1"/>
  <c r="E48" i="2" l="1"/>
  <c r="I47" i="2"/>
  <c r="F48" i="2"/>
  <c r="J47" i="2"/>
  <c r="D47" i="2"/>
  <c r="H47" i="2" s="1"/>
  <c r="F49" i="2" l="1"/>
  <c r="J48" i="2"/>
  <c r="E49" i="2"/>
  <c r="I48" i="2"/>
  <c r="D48" i="2"/>
  <c r="H48" i="2" s="1"/>
  <c r="E50" i="2" l="1"/>
  <c r="I49" i="2"/>
  <c r="J49" i="2"/>
  <c r="F50" i="2"/>
  <c r="D49" i="2"/>
  <c r="D50" i="2" l="1"/>
  <c r="H49" i="2"/>
  <c r="J50" i="2"/>
  <c r="F51" i="2"/>
  <c r="E51" i="2"/>
  <c r="I50" i="2"/>
  <c r="I51" i="2" l="1"/>
  <c r="E52" i="2"/>
  <c r="F52" i="2"/>
  <c r="J51" i="2"/>
  <c r="H50" i="2"/>
  <c r="D51" i="2"/>
  <c r="H51" i="2" l="1"/>
  <c r="D52" i="2"/>
  <c r="F53" i="2"/>
  <c r="J52" i="2"/>
  <c r="E53" i="2"/>
  <c r="I52" i="2"/>
  <c r="F54" i="2" l="1"/>
  <c r="J53" i="2"/>
  <c r="E54" i="2"/>
  <c r="I53" i="2"/>
  <c r="H52" i="2"/>
  <c r="D53" i="2"/>
  <c r="H53" i="2" l="1"/>
  <c r="D54" i="2"/>
  <c r="E55" i="2"/>
  <c r="I54" i="2"/>
  <c r="F55" i="2"/>
  <c r="J54" i="2"/>
  <c r="F56" i="2" l="1"/>
  <c r="J55" i="2"/>
  <c r="E56" i="2"/>
  <c r="I55" i="2"/>
  <c r="H54" i="2"/>
  <c r="D55" i="2"/>
  <c r="H55" i="2" l="1"/>
  <c r="D56" i="2"/>
  <c r="E57" i="2"/>
  <c r="I56" i="2"/>
  <c r="F57" i="2"/>
  <c r="J56" i="2"/>
  <c r="F58" i="2" l="1"/>
  <c r="J58" i="2" s="1"/>
  <c r="J57" i="2"/>
  <c r="E58" i="2"/>
  <c r="I58" i="2" s="1"/>
  <c r="I57" i="2"/>
  <c r="H56" i="2"/>
  <c r="D57" i="2"/>
  <c r="H57" i="2" l="1"/>
  <c r="D58" i="2"/>
  <c r="H58" i="2" s="1"/>
</calcChain>
</file>

<file path=xl/sharedStrings.xml><?xml version="1.0" encoding="utf-8"?>
<sst xmlns="http://schemas.openxmlformats.org/spreadsheetml/2006/main" count="55" uniqueCount="51">
  <si>
    <t>Pos</t>
  </si>
  <si>
    <t>Beschreibung</t>
  </si>
  <si>
    <t>Grundstück</t>
  </si>
  <si>
    <t>Vorbereitung</t>
  </si>
  <si>
    <t>Rohbau 1</t>
  </si>
  <si>
    <t>Rohbau 2</t>
  </si>
  <si>
    <t>Elektro</t>
  </si>
  <si>
    <t>Heizung</t>
  </si>
  <si>
    <t>Sanitäranlagen</t>
  </si>
  <si>
    <t>Pool</t>
  </si>
  <si>
    <t>Küche</t>
  </si>
  <si>
    <t>Total</t>
  </si>
  <si>
    <t>Wetli</t>
  </si>
  <si>
    <t>Graf</t>
  </si>
  <si>
    <t>Bürzle</t>
  </si>
  <si>
    <t>Sauna</t>
  </si>
  <si>
    <t>Lift</t>
  </si>
  <si>
    <t>Gipser</t>
  </si>
  <si>
    <t>Metallbau</t>
  </si>
  <si>
    <t>Allg. Schreinerarbeiten</t>
  </si>
  <si>
    <t>Diverse Ausbauten</t>
  </si>
  <si>
    <t>Schliessanlage</t>
  </si>
  <si>
    <t>UB</t>
  </si>
  <si>
    <t>Bodenbeläge</t>
  </si>
  <si>
    <t>Boden Treppe</t>
  </si>
  <si>
    <t>Wand Platten</t>
  </si>
  <si>
    <t>Cheminee</t>
  </si>
  <si>
    <t>Maler</t>
  </si>
  <si>
    <t>Baureinigung</t>
  </si>
  <si>
    <t>Honorare</t>
  </si>
  <si>
    <t>Umgebung</t>
  </si>
  <si>
    <t>Baunebenkosten</t>
  </si>
  <si>
    <t>Anteil</t>
  </si>
  <si>
    <t>Wohnfläche</t>
  </si>
  <si>
    <t>SUMME</t>
  </si>
  <si>
    <t>Zins</t>
  </si>
  <si>
    <t>Amortisation</t>
  </si>
  <si>
    <t>Nebenkosten</t>
  </si>
  <si>
    <t>Total pro Jahr</t>
  </si>
  <si>
    <t>Total Pro Monat</t>
  </si>
  <si>
    <t xml:space="preserve">Boden </t>
  </si>
  <si>
    <t>Jahr</t>
  </si>
  <si>
    <t>xx</t>
  </si>
  <si>
    <t>Total Schuld</t>
  </si>
  <si>
    <t>Wetli Pro Monat</t>
  </si>
  <si>
    <t>Graf Pro Monat</t>
  </si>
  <si>
    <t>Bürzle Pro Monat</t>
  </si>
  <si>
    <t>Sparen</t>
  </si>
  <si>
    <t>20% anteil</t>
  </si>
  <si>
    <t>Eigenanteil</t>
  </si>
  <si>
    <t>Total Hypothek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</si>
</sst>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9C223-A4DB-4C45-A162-A14C06E234CF}">
  <dimension ref="B2:I38"/>
  <sheetViews>
    <sheetView topLeftCell="A25" workbookViewId="0">
      <selection activeCell="F5" sqref="F5:H5"/>
    </sheetView>
  </sheetViews>
  <sheetFormatPr baseColWidth="10" defaultRowHeight="15" x14ac:dyDescent="0.25"/>
  <cols>
    <col min="3" max="3" width="19.28515625" bestFit="1" customWidth="1"/>
  </cols>
  <sheetData>
    <row r="2" spans="2:9" x14ac:dyDescent="0.25">
      <c r="I2">
        <f>SUM(F5:H5)</f>
        <v>608</v>
      </c>
    </row>
    <row r="3" spans="2:9" x14ac:dyDescent="0.25">
      <c r="I3">
        <f>SUM(F6:H6)</f>
        <v>1</v>
      </c>
    </row>
    <row r="5" spans="2:9" x14ac:dyDescent="0.25">
      <c r="E5" t="s">
        <v>33</v>
      </c>
      <c r="F5">
        <v>165</v>
      </c>
      <c r="G5">
        <v>165</v>
      </c>
      <c r="H5">
        <v>278</v>
      </c>
    </row>
    <row r="6" spans="2:9" x14ac:dyDescent="0.25">
      <c r="E6" t="s">
        <v>32</v>
      </c>
      <c r="F6">
        <f>F5/I2</f>
        <v>0.27138157894736842</v>
      </c>
      <c r="G6">
        <f>G5/I2</f>
        <v>0.27138157894736842</v>
      </c>
      <c r="H6">
        <f>H5/I2</f>
        <v>0.45723684210526316</v>
      </c>
    </row>
    <row r="7" spans="2:9" x14ac:dyDescent="0.25">
      <c r="B7" t="s">
        <v>0</v>
      </c>
      <c r="C7" t="s">
        <v>1</v>
      </c>
      <c r="E7" t="s">
        <v>11</v>
      </c>
      <c r="F7" t="s">
        <v>12</v>
      </c>
      <c r="G7" t="s">
        <v>13</v>
      </c>
      <c r="H7" t="s">
        <v>14</v>
      </c>
    </row>
    <row r="8" spans="2:9" x14ac:dyDescent="0.25">
      <c r="B8">
        <v>0</v>
      </c>
      <c r="C8" t="s">
        <v>2</v>
      </c>
      <c r="E8">
        <v>17150</v>
      </c>
      <c r="F8">
        <f>$E8*F$6</f>
        <v>4654.1940789473683</v>
      </c>
      <c r="G8">
        <f t="shared" ref="G8:H15" si="0">$E8*G$6</f>
        <v>4654.1940789473683</v>
      </c>
      <c r="H8">
        <f t="shared" si="0"/>
        <v>7841.6118421052633</v>
      </c>
    </row>
    <row r="9" spans="2:9" x14ac:dyDescent="0.25">
      <c r="B9">
        <v>1</v>
      </c>
      <c r="C9" t="s">
        <v>3</v>
      </c>
      <c r="E9">
        <v>27969</v>
      </c>
      <c r="F9">
        <f t="shared" ref="F9:F15" si="1">$E9*F$6</f>
        <v>7590.2713815789475</v>
      </c>
      <c r="G9">
        <f t="shared" si="0"/>
        <v>7590.2713815789475</v>
      </c>
      <c r="H9">
        <f t="shared" si="0"/>
        <v>12788.457236842105</v>
      </c>
    </row>
    <row r="10" spans="2:9" x14ac:dyDescent="0.25">
      <c r="B10">
        <v>21</v>
      </c>
      <c r="C10" t="s">
        <v>4</v>
      </c>
      <c r="E10">
        <v>1654000</v>
      </c>
      <c r="F10">
        <f t="shared" si="1"/>
        <v>448865.13157894736</v>
      </c>
      <c r="G10">
        <f t="shared" si="0"/>
        <v>448865.13157894736</v>
      </c>
      <c r="H10">
        <f t="shared" si="0"/>
        <v>756269.73684210528</v>
      </c>
    </row>
    <row r="11" spans="2:9" x14ac:dyDescent="0.25">
      <c r="B11">
        <v>22</v>
      </c>
      <c r="C11" t="s">
        <v>5</v>
      </c>
      <c r="E11">
        <v>623826</v>
      </c>
      <c r="F11">
        <f t="shared" si="1"/>
        <v>169294.88486842104</v>
      </c>
      <c r="G11">
        <f t="shared" si="0"/>
        <v>169294.88486842104</v>
      </c>
      <c r="H11">
        <f t="shared" si="0"/>
        <v>285236.23026315792</v>
      </c>
    </row>
    <row r="12" spans="2:9" x14ac:dyDescent="0.25">
      <c r="B12">
        <v>23</v>
      </c>
      <c r="C12" t="s">
        <v>6</v>
      </c>
      <c r="E12">
        <v>251021</v>
      </c>
      <c r="F12">
        <f t="shared" si="1"/>
        <v>68122.475328947374</v>
      </c>
      <c r="G12">
        <f t="shared" si="0"/>
        <v>68122.475328947374</v>
      </c>
      <c r="H12">
        <f t="shared" si="0"/>
        <v>114776.04934210527</v>
      </c>
    </row>
    <row r="13" spans="2:9" x14ac:dyDescent="0.25">
      <c r="B13">
        <v>24</v>
      </c>
      <c r="C13" t="s">
        <v>7</v>
      </c>
      <c r="E13">
        <v>96000</v>
      </c>
      <c r="F13">
        <f t="shared" si="1"/>
        <v>26052.631578947367</v>
      </c>
      <c r="G13">
        <f t="shared" si="0"/>
        <v>26052.631578947367</v>
      </c>
      <c r="H13">
        <f t="shared" si="0"/>
        <v>43894.736842105267</v>
      </c>
    </row>
    <row r="14" spans="2:9" x14ac:dyDescent="0.25">
      <c r="B14">
        <v>25</v>
      </c>
      <c r="C14" t="s">
        <v>8</v>
      </c>
      <c r="E14">
        <v>254876</v>
      </c>
      <c r="F14">
        <f t="shared" si="1"/>
        <v>69168.651315789466</v>
      </c>
      <c r="G14">
        <f t="shared" si="0"/>
        <v>69168.651315789466</v>
      </c>
      <c r="H14">
        <f t="shared" si="0"/>
        <v>116538.69736842105</v>
      </c>
    </row>
    <row r="15" spans="2:9" x14ac:dyDescent="0.25">
      <c r="B15">
        <v>254</v>
      </c>
      <c r="C15" t="s">
        <v>9</v>
      </c>
      <c r="E15">
        <v>90000</v>
      </c>
      <c r="F15">
        <f t="shared" si="1"/>
        <v>24424.342105263157</v>
      </c>
      <c r="G15">
        <f t="shared" si="0"/>
        <v>24424.342105263157</v>
      </c>
      <c r="H15">
        <f t="shared" si="0"/>
        <v>41151.315789473687</v>
      </c>
    </row>
    <row r="16" spans="2:9" x14ac:dyDescent="0.25">
      <c r="B16">
        <v>258</v>
      </c>
      <c r="C16" t="s">
        <v>10</v>
      </c>
      <c r="F16">
        <v>45565</v>
      </c>
      <c r="G16">
        <v>45897</v>
      </c>
      <c r="H16">
        <v>104953</v>
      </c>
    </row>
    <row r="17" spans="2:8" x14ac:dyDescent="0.25">
      <c r="B17">
        <v>259</v>
      </c>
      <c r="C17" t="s">
        <v>15</v>
      </c>
      <c r="H17">
        <v>56800</v>
      </c>
    </row>
    <row r="18" spans="2:8" x14ac:dyDescent="0.25">
      <c r="B18">
        <v>26</v>
      </c>
      <c r="C18" t="s">
        <v>16</v>
      </c>
      <c r="H18">
        <v>37608</v>
      </c>
    </row>
    <row r="19" spans="2:8" x14ac:dyDescent="0.25">
      <c r="B19">
        <v>271</v>
      </c>
      <c r="C19" t="s">
        <v>17</v>
      </c>
      <c r="E19">
        <v>150000</v>
      </c>
      <c r="F19">
        <f t="shared" ref="F19:H20" si="2">$E19*F$6</f>
        <v>40707.23684210526</v>
      </c>
      <c r="G19">
        <f t="shared" si="2"/>
        <v>40707.23684210526</v>
      </c>
      <c r="H19">
        <f t="shared" si="2"/>
        <v>68585.526315789481</v>
      </c>
    </row>
    <row r="20" spans="2:8" x14ac:dyDescent="0.25">
      <c r="B20">
        <v>272</v>
      </c>
      <c r="C20" t="s">
        <v>18</v>
      </c>
      <c r="E20">
        <v>44085</v>
      </c>
      <c r="F20">
        <f t="shared" si="2"/>
        <v>11963.856907894737</v>
      </c>
      <c r="G20">
        <f t="shared" si="2"/>
        <v>11963.856907894737</v>
      </c>
      <c r="H20">
        <f t="shared" si="2"/>
        <v>20157.286184210527</v>
      </c>
    </row>
    <row r="21" spans="2:8" x14ac:dyDescent="0.25">
      <c r="B21">
        <v>2731</v>
      </c>
      <c r="C21" t="s">
        <v>19</v>
      </c>
      <c r="F21">
        <v>23269</v>
      </c>
      <c r="G21">
        <v>1048</v>
      </c>
      <c r="H21">
        <v>10000</v>
      </c>
    </row>
    <row r="22" spans="2:8" x14ac:dyDescent="0.25">
      <c r="B22">
        <v>2733</v>
      </c>
      <c r="C22" t="s">
        <v>20</v>
      </c>
      <c r="F22">
        <v>21508</v>
      </c>
      <c r="G22">
        <v>36982</v>
      </c>
      <c r="H22">
        <v>15000</v>
      </c>
    </row>
    <row r="23" spans="2:8" x14ac:dyDescent="0.25">
      <c r="B23">
        <v>275</v>
      </c>
      <c r="C23" t="s">
        <v>21</v>
      </c>
      <c r="E23">
        <v>6000</v>
      </c>
      <c r="F23">
        <f t="shared" ref="F23:H26" si="3">$E23*F$6</f>
        <v>1628.2894736842104</v>
      </c>
      <c r="G23">
        <f t="shared" si="3"/>
        <v>1628.2894736842104</v>
      </c>
      <c r="H23">
        <f t="shared" si="3"/>
        <v>2743.4210526315792</v>
      </c>
    </row>
    <row r="24" spans="2:8" x14ac:dyDescent="0.25">
      <c r="B24">
        <v>2810</v>
      </c>
      <c r="C24" t="s">
        <v>22</v>
      </c>
      <c r="E24">
        <v>56539</v>
      </c>
      <c r="F24">
        <f t="shared" si="3"/>
        <v>15343.643092105263</v>
      </c>
      <c r="G24">
        <f t="shared" si="3"/>
        <v>15343.643092105263</v>
      </c>
      <c r="H24">
        <f t="shared" si="3"/>
        <v>25851.713815789473</v>
      </c>
    </row>
    <row r="25" spans="2:8" x14ac:dyDescent="0.25">
      <c r="B25">
        <v>2812</v>
      </c>
      <c r="C25" t="s">
        <v>23</v>
      </c>
      <c r="F25">
        <v>15000</v>
      </c>
      <c r="G25">
        <v>18968</v>
      </c>
      <c r="H25">
        <v>34000</v>
      </c>
    </row>
    <row r="26" spans="2:8" x14ac:dyDescent="0.25">
      <c r="B26">
        <v>2816</v>
      </c>
      <c r="C26" t="s">
        <v>24</v>
      </c>
      <c r="E26">
        <v>36000</v>
      </c>
      <c r="F26">
        <f t="shared" si="3"/>
        <v>9769.7368421052633</v>
      </c>
      <c r="G26">
        <f t="shared" si="3"/>
        <v>9769.7368421052633</v>
      </c>
      <c r="H26">
        <f t="shared" si="3"/>
        <v>16460.526315789473</v>
      </c>
    </row>
    <row r="27" spans="2:8" x14ac:dyDescent="0.25">
      <c r="B27">
        <v>2824</v>
      </c>
      <c r="C27" t="s">
        <v>25</v>
      </c>
      <c r="F27">
        <v>8000</v>
      </c>
      <c r="G27">
        <v>8000</v>
      </c>
      <c r="H27">
        <v>10000</v>
      </c>
    </row>
    <row r="28" spans="2:8" x14ac:dyDescent="0.25">
      <c r="B28">
        <v>284</v>
      </c>
      <c r="C28" t="s">
        <v>26</v>
      </c>
      <c r="F28">
        <v>22927</v>
      </c>
      <c r="G28">
        <v>31240</v>
      </c>
      <c r="H28">
        <v>20000</v>
      </c>
    </row>
    <row r="29" spans="2:8" x14ac:dyDescent="0.25">
      <c r="B29">
        <v>2851</v>
      </c>
      <c r="C29" t="s">
        <v>27</v>
      </c>
      <c r="E29">
        <v>60000</v>
      </c>
      <c r="F29">
        <f t="shared" ref="F29:H34" si="4">$E29*F$6</f>
        <v>16282.894736842105</v>
      </c>
      <c r="G29">
        <f t="shared" si="4"/>
        <v>16282.894736842105</v>
      </c>
      <c r="H29">
        <f t="shared" si="4"/>
        <v>27434.21052631579</v>
      </c>
    </row>
    <row r="30" spans="2:8" x14ac:dyDescent="0.25">
      <c r="B30">
        <v>287</v>
      </c>
      <c r="C30" t="s">
        <v>28</v>
      </c>
      <c r="E30">
        <v>15000</v>
      </c>
      <c r="F30">
        <f t="shared" si="4"/>
        <v>4070.7236842105262</v>
      </c>
      <c r="G30">
        <f t="shared" si="4"/>
        <v>4070.7236842105262</v>
      </c>
      <c r="H30">
        <f t="shared" si="4"/>
        <v>6858.5526315789475</v>
      </c>
    </row>
    <row r="31" spans="2:8" x14ac:dyDescent="0.25">
      <c r="B31">
        <v>29</v>
      </c>
      <c r="C31" t="s">
        <v>29</v>
      </c>
      <c r="E31">
        <v>733965</v>
      </c>
      <c r="F31">
        <f t="shared" si="4"/>
        <v>199184.58059210525</v>
      </c>
      <c r="G31">
        <f t="shared" si="4"/>
        <v>199184.58059210525</v>
      </c>
      <c r="H31">
        <f t="shared" si="4"/>
        <v>335595.8388157895</v>
      </c>
    </row>
    <row r="32" spans="2:8" x14ac:dyDescent="0.25">
      <c r="B32">
        <v>4</v>
      </c>
      <c r="C32" t="s">
        <v>30</v>
      </c>
      <c r="E32">
        <v>151036</v>
      </c>
      <c r="F32">
        <f t="shared" si="4"/>
        <v>40988.388157894733</v>
      </c>
      <c r="G32">
        <f t="shared" si="4"/>
        <v>40988.388157894733</v>
      </c>
      <c r="H32">
        <f t="shared" si="4"/>
        <v>69059.223684210534</v>
      </c>
    </row>
    <row r="33" spans="2:8" x14ac:dyDescent="0.25">
      <c r="B33">
        <v>5</v>
      </c>
      <c r="C33" t="s">
        <v>31</v>
      </c>
      <c r="E33">
        <v>232000</v>
      </c>
      <c r="F33">
        <f t="shared" si="4"/>
        <v>62960.526315789473</v>
      </c>
      <c r="G33">
        <f t="shared" si="4"/>
        <v>62960.526315789473</v>
      </c>
      <c r="H33">
        <f t="shared" si="4"/>
        <v>106078.94736842105</v>
      </c>
    </row>
    <row r="34" spans="2:8" x14ac:dyDescent="0.25">
      <c r="B34" t="s">
        <v>42</v>
      </c>
      <c r="C34" t="s">
        <v>40</v>
      </c>
      <c r="E34">
        <v>1500000</v>
      </c>
      <c r="F34">
        <f t="shared" si="4"/>
        <v>407072.36842105264</v>
      </c>
      <c r="G34">
        <f t="shared" si="4"/>
        <v>407072.36842105264</v>
      </c>
      <c r="H34">
        <f t="shared" si="4"/>
        <v>685855.26315789472</v>
      </c>
    </row>
    <row r="36" spans="2:8" x14ac:dyDescent="0.25">
      <c r="C36" t="s">
        <v>34</v>
      </c>
      <c r="F36">
        <f>SUM(F8:F34)</f>
        <v>1764413.8273026315</v>
      </c>
      <c r="G36">
        <f>SUM(G8:G34)</f>
        <v>1770279.8273026315</v>
      </c>
      <c r="H36">
        <f>SUM(H8:H34)</f>
        <v>3031538.3453947366</v>
      </c>
    </row>
    <row r="38" spans="2:8" x14ac:dyDescent="0.25">
      <c r="C38" t="s">
        <v>37</v>
      </c>
      <c r="F38">
        <v>440</v>
      </c>
      <c r="G38">
        <v>440</v>
      </c>
      <c r="H38">
        <v>540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81D51-5EC0-4529-BE71-4B402ADCF6F3}">
  <dimension ref="B3:J58"/>
  <sheetViews>
    <sheetView tabSelected="1" workbookViewId="0">
      <selection activeCell="D14" sqref="D14"/>
    </sheetView>
  </sheetViews>
  <sheetFormatPr baseColWidth="10" defaultRowHeight="15" x14ac:dyDescent="0.25"/>
  <cols>
    <col min="2" max="2" width="14.7109375" customWidth="1"/>
    <col min="8" max="8" width="14.85546875" bestFit="1" customWidth="1"/>
    <col min="9" max="9" width="14.140625" bestFit="1" customWidth="1"/>
    <col min="10" max="10" width="15.85546875" bestFit="1" customWidth="1"/>
  </cols>
  <sheetData>
    <row r="3" spans="2:9" x14ac:dyDescent="0.25">
      <c r="D3" t="s">
        <v>12</v>
      </c>
      <c r="E3" t="s">
        <v>13</v>
      </c>
      <c r="F3" t="s">
        <v>14</v>
      </c>
      <c r="H3" t="s">
        <v>48</v>
      </c>
      <c r="I3">
        <f>Tabelle1!F36*0.2</f>
        <v>352882.76546052634</v>
      </c>
    </row>
    <row r="4" spans="2:9" x14ac:dyDescent="0.25">
      <c r="B4" t="s">
        <v>43</v>
      </c>
      <c r="D4">
        <f>Tabelle1!F36</f>
        <v>1764413.8273026315</v>
      </c>
      <c r="E4">
        <f>Tabelle1!G36</f>
        <v>1770279.8273026315</v>
      </c>
      <c r="F4">
        <f>Tabelle1!H36</f>
        <v>3031538.3453947366</v>
      </c>
    </row>
    <row r="5" spans="2:9" x14ac:dyDescent="0.25">
      <c r="B5" t="s">
        <v>49</v>
      </c>
      <c r="C5" s="1">
        <v>0</v>
      </c>
      <c r="D5">
        <f>D4*$C$5</f>
        <v>0</v>
      </c>
      <c r="E5">
        <f>E4*$C$5</f>
        <v>0</v>
      </c>
      <c r="F5">
        <f t="shared" ref="E5:F5" si="0">F4*$C$5</f>
        <v>0</v>
      </c>
    </row>
    <row r="6" spans="2:9" x14ac:dyDescent="0.25">
      <c r="B6" t="s">
        <v>50</v>
      </c>
      <c r="D6">
        <f>D4-D5</f>
        <v>1764413.8273026315</v>
      </c>
      <c r="E6">
        <f t="shared" ref="E6:F6" si="1">E4-E5</f>
        <v>1770279.8273026315</v>
      </c>
      <c r="F6">
        <f t="shared" si="1"/>
        <v>3031538.3453947366</v>
      </c>
    </row>
    <row r="7" spans="2:9" x14ac:dyDescent="0.25">
      <c r="B7" t="s">
        <v>35</v>
      </c>
      <c r="C7" s="1">
        <v>8.0000000000000002E-3</v>
      </c>
      <c r="D7">
        <f>D6*Tabelle2!$C7</f>
        <v>14115.310618421052</v>
      </c>
      <c r="E7">
        <f>E6*Tabelle2!$C7</f>
        <v>14162.238618421052</v>
      </c>
      <c r="F7">
        <f>F6*Tabelle2!$C7</f>
        <v>24252.306763157892</v>
      </c>
    </row>
    <row r="8" spans="2:9" x14ac:dyDescent="0.25">
      <c r="B8" t="s">
        <v>36</v>
      </c>
      <c r="C8" s="1">
        <v>0.01</v>
      </c>
      <c r="D8">
        <f>D4*Tabelle2!$C8</f>
        <v>17644.138273026314</v>
      </c>
      <c r="E8">
        <f>E4*Tabelle2!$C8</f>
        <v>17702.798273026314</v>
      </c>
      <c r="F8">
        <f>F4*Tabelle2!$C8</f>
        <v>30315.383453947368</v>
      </c>
    </row>
    <row r="9" spans="2:9" x14ac:dyDescent="0.25">
      <c r="B9" t="s">
        <v>37</v>
      </c>
      <c r="C9" s="1"/>
      <c r="D9">
        <f>Tabelle1!F38*12</f>
        <v>5280</v>
      </c>
      <c r="E9">
        <f>Tabelle1!G38*12</f>
        <v>5280</v>
      </c>
      <c r="F9">
        <f>Tabelle1!H38*12</f>
        <v>6480</v>
      </c>
    </row>
    <row r="10" spans="2:9" x14ac:dyDescent="0.25">
      <c r="B10" t="s">
        <v>47</v>
      </c>
      <c r="C10" s="1">
        <v>0</v>
      </c>
      <c r="D10">
        <f>D4*Tabelle2!$C10</f>
        <v>0</v>
      </c>
      <c r="E10">
        <f>E4*Tabelle2!$C10</f>
        <v>0</v>
      </c>
      <c r="F10">
        <f>F4*Tabelle2!$C10</f>
        <v>0</v>
      </c>
    </row>
    <row r="13" spans="2:9" x14ac:dyDescent="0.25">
      <c r="B13" t="s">
        <v>38</v>
      </c>
      <c r="D13">
        <f>SUM(D7:D10)</f>
        <v>37039.448891447362</v>
      </c>
      <c r="E13">
        <f>SUM(E7:E10)</f>
        <v>37145.036891447366</v>
      </c>
      <c r="F13">
        <f>SUM(F7:F10)</f>
        <v>61047.690217105264</v>
      </c>
    </row>
    <row r="14" spans="2:9" x14ac:dyDescent="0.25">
      <c r="B14" t="s">
        <v>39</v>
      </c>
      <c r="D14">
        <f>D13/12</f>
        <v>3086.620740953947</v>
      </c>
      <c r="E14">
        <f>E13/12</f>
        <v>3095.419740953947</v>
      </c>
      <c r="F14">
        <f>F13/12</f>
        <v>5087.3075180921051</v>
      </c>
    </row>
    <row r="17" spans="2:10" x14ac:dyDescent="0.25">
      <c r="H17" t="s">
        <v>44</v>
      </c>
      <c r="I17" t="s">
        <v>45</v>
      </c>
      <c r="J17" t="s">
        <v>46</v>
      </c>
    </row>
    <row r="18" spans="2:10" x14ac:dyDescent="0.25">
      <c r="B18" t="s">
        <v>41</v>
      </c>
      <c r="C18">
        <v>40</v>
      </c>
      <c r="D18">
        <f>D13</f>
        <v>37039.448891447362</v>
      </c>
      <c r="E18">
        <f>E13</f>
        <v>37145.036891447366</v>
      </c>
      <c r="F18">
        <f>F13</f>
        <v>61047.690217105264</v>
      </c>
      <c r="H18">
        <f>D18/12</f>
        <v>3086.620740953947</v>
      </c>
      <c r="I18">
        <f t="shared" ref="I18:J18" si="2">E18/12</f>
        <v>3095.419740953947</v>
      </c>
      <c r="J18">
        <f t="shared" si="2"/>
        <v>5087.3075180921051</v>
      </c>
    </row>
    <row r="19" spans="2:10" x14ac:dyDescent="0.25">
      <c r="C19">
        <v>41</v>
      </c>
      <c r="D19">
        <f>D18*(1-$C$8)</f>
        <v>36669.054402532885</v>
      </c>
      <c r="E19">
        <f>E18*(1-$C$8)</f>
        <v>36773.586522532889</v>
      </c>
      <c r="F19">
        <f>F18*(1-$C$8)</f>
        <v>60437.213314934212</v>
      </c>
      <c r="H19">
        <f t="shared" ref="H19:H58" si="3">D19/12</f>
        <v>3055.754533544407</v>
      </c>
      <c r="I19">
        <f t="shared" ref="I19:I58" si="4">E19/12</f>
        <v>3064.4655435444074</v>
      </c>
      <c r="J19">
        <f t="shared" ref="J19:J58" si="5">F19/12</f>
        <v>5036.4344429111843</v>
      </c>
    </row>
    <row r="20" spans="2:10" x14ac:dyDescent="0.25">
      <c r="C20">
        <v>42</v>
      </c>
      <c r="D20">
        <f>D19*(1-$C$8)</f>
        <v>36302.363858507553</v>
      </c>
      <c r="E20">
        <f>E19*(1-$C$8)</f>
        <v>36405.850657307557</v>
      </c>
      <c r="F20">
        <f>F19*(1-$C$8)</f>
        <v>59832.841181784868</v>
      </c>
      <c r="H20">
        <f t="shared" si="3"/>
        <v>3025.1969882089629</v>
      </c>
      <c r="I20">
        <f t="shared" si="4"/>
        <v>3033.8208881089631</v>
      </c>
      <c r="J20">
        <f t="shared" si="5"/>
        <v>4986.0700984820724</v>
      </c>
    </row>
    <row r="21" spans="2:10" x14ac:dyDescent="0.25">
      <c r="C21">
        <v>43</v>
      </c>
      <c r="D21">
        <f>D20*(1-$C$8)</f>
        <v>35939.34021992248</v>
      </c>
      <c r="E21">
        <f>E20*(1-$C$8)</f>
        <v>36041.79215073448</v>
      </c>
      <c r="F21">
        <f>F20*(1-$C$8)</f>
        <v>59234.512769967019</v>
      </c>
      <c r="H21">
        <f t="shared" si="3"/>
        <v>2994.9450183268732</v>
      </c>
      <c r="I21">
        <f t="shared" si="4"/>
        <v>3003.4826792278732</v>
      </c>
      <c r="J21">
        <f t="shared" si="5"/>
        <v>4936.2093974972513</v>
      </c>
    </row>
    <row r="22" spans="2:10" x14ac:dyDescent="0.25">
      <c r="C22">
        <v>44</v>
      </c>
      <c r="D22">
        <f>D21*(1-$C$8)</f>
        <v>35579.946817723256</v>
      </c>
      <c r="E22">
        <f>E21*(1-$C$8)</f>
        <v>35681.374229227134</v>
      </c>
      <c r="F22">
        <f>F21*(1-$C$8)</f>
        <v>58642.167642267348</v>
      </c>
      <c r="H22">
        <f t="shared" si="3"/>
        <v>2964.9955681436045</v>
      </c>
      <c r="I22">
        <f t="shared" si="4"/>
        <v>2973.4478524355945</v>
      </c>
      <c r="J22">
        <f t="shared" si="5"/>
        <v>4886.8473035222787</v>
      </c>
    </row>
    <row r="23" spans="2:10" x14ac:dyDescent="0.25">
      <c r="C23">
        <v>45</v>
      </c>
      <c r="D23">
        <f>D22*(1-$C$8)</f>
        <v>35224.147349546023</v>
      </c>
      <c r="E23">
        <f>E22*(1-$C$8)</f>
        <v>35324.560486934861</v>
      </c>
      <c r="F23">
        <f>F22*(1-$C$8)</f>
        <v>58055.745965844675</v>
      </c>
      <c r="H23">
        <f t="shared" si="3"/>
        <v>2935.3456124621684</v>
      </c>
      <c r="I23">
        <f t="shared" si="4"/>
        <v>2943.7133739112383</v>
      </c>
      <c r="J23">
        <f t="shared" si="5"/>
        <v>4837.9788304870563</v>
      </c>
    </row>
    <row r="24" spans="2:10" x14ac:dyDescent="0.25">
      <c r="C24">
        <v>46</v>
      </c>
      <c r="D24">
        <f>D23*(1-$C$8)</f>
        <v>34871.905876050565</v>
      </c>
      <c r="E24">
        <f>E23*(1-$C$8)</f>
        <v>34971.314882065511</v>
      </c>
      <c r="F24">
        <f>F23*(1-$C$8)</f>
        <v>57475.188506186227</v>
      </c>
      <c r="H24">
        <f t="shared" si="3"/>
        <v>2905.9921563375469</v>
      </c>
      <c r="I24">
        <f t="shared" si="4"/>
        <v>2914.2762401721261</v>
      </c>
      <c r="J24">
        <f t="shared" si="5"/>
        <v>4789.5990421821853</v>
      </c>
    </row>
    <row r="25" spans="2:10" x14ac:dyDescent="0.25">
      <c r="C25">
        <v>47</v>
      </c>
      <c r="D25">
        <f>D24*(1-$C$8)</f>
        <v>34523.186817290058</v>
      </c>
      <c r="E25">
        <f>E24*(1-$C$8)</f>
        <v>34621.601733244854</v>
      </c>
      <c r="F25">
        <f>F24*(1-$C$8)</f>
        <v>56900.436621124361</v>
      </c>
      <c r="H25">
        <f t="shared" si="3"/>
        <v>2876.9322347741713</v>
      </c>
      <c r="I25">
        <f t="shared" si="4"/>
        <v>2885.1334777704046</v>
      </c>
      <c r="J25">
        <f t="shared" si="5"/>
        <v>4741.7030517603635</v>
      </c>
    </row>
    <row r="26" spans="2:10" x14ac:dyDescent="0.25">
      <c r="C26">
        <v>48</v>
      </c>
      <c r="D26">
        <f>D25*(1-$C$8)</f>
        <v>34177.954949117157</v>
      </c>
      <c r="E26">
        <f>E25*(1-$C$8)</f>
        <v>34275.385715912402</v>
      </c>
      <c r="F26">
        <f>F25*(1-$C$8)</f>
        <v>56331.432254913118</v>
      </c>
      <c r="H26">
        <f t="shared" si="3"/>
        <v>2848.1629124264296</v>
      </c>
      <c r="I26">
        <f t="shared" si="4"/>
        <v>2856.2821429927003</v>
      </c>
      <c r="J26">
        <f t="shared" si="5"/>
        <v>4694.2860212427595</v>
      </c>
    </row>
    <row r="27" spans="2:10" x14ac:dyDescent="0.25">
      <c r="C27">
        <v>49</v>
      </c>
      <c r="D27">
        <f>D26*(1-$C$8)</f>
        <v>33836.175399625987</v>
      </c>
      <c r="E27">
        <f>E26*(1-$C$8)</f>
        <v>33932.631858753281</v>
      </c>
      <c r="F27">
        <f>F26*(1-$C$8)</f>
        <v>55768.117932363988</v>
      </c>
      <c r="H27">
        <f t="shared" si="3"/>
        <v>2819.6812833021654</v>
      </c>
      <c r="I27">
        <f t="shared" si="4"/>
        <v>2827.7193215627735</v>
      </c>
      <c r="J27">
        <f t="shared" si="5"/>
        <v>4647.3431610303323</v>
      </c>
    </row>
    <row r="28" spans="2:10" x14ac:dyDescent="0.25">
      <c r="C28">
        <v>50</v>
      </c>
      <c r="D28">
        <f>D27*(1-$C$8)</f>
        <v>33497.813645629729</v>
      </c>
      <c r="E28">
        <f>E27*(1-$C$8)</f>
        <v>33593.305540165748</v>
      </c>
      <c r="F28">
        <f>F27*(1-$C$8)</f>
        <v>55210.436753040347</v>
      </c>
      <c r="H28">
        <f t="shared" si="3"/>
        <v>2791.4844704691441</v>
      </c>
      <c r="I28">
        <f t="shared" si="4"/>
        <v>2799.4421283471456</v>
      </c>
      <c r="J28">
        <f t="shared" si="5"/>
        <v>4600.8697294200292</v>
      </c>
    </row>
    <row r="29" spans="2:10" x14ac:dyDescent="0.25">
      <c r="C29">
        <v>51</v>
      </c>
      <c r="D29">
        <f>D28*(1-$C$8)</f>
        <v>33162.835509173434</v>
      </c>
      <c r="E29">
        <f>E28*(1-$C$8)</f>
        <v>33257.372484764091</v>
      </c>
      <c r="F29">
        <f>F28*(1-$C$8)</f>
        <v>54658.332385509944</v>
      </c>
      <c r="H29">
        <f t="shared" si="3"/>
        <v>2763.5696257644527</v>
      </c>
      <c r="I29">
        <f t="shared" si="4"/>
        <v>2771.4477070636744</v>
      </c>
      <c r="J29">
        <f t="shared" si="5"/>
        <v>4554.8610321258284</v>
      </c>
    </row>
    <row r="30" spans="2:10" x14ac:dyDescent="0.25">
      <c r="C30">
        <v>52</v>
      </c>
      <c r="D30">
        <f>D29*(1-$C$8)</f>
        <v>32831.207154081698</v>
      </c>
      <c r="E30">
        <f>E29*(1-$C$8)</f>
        <v>32924.798759916448</v>
      </c>
      <c r="F30">
        <f>F29*(1-$C$8)</f>
        <v>54111.749061654846</v>
      </c>
      <c r="H30">
        <f t="shared" si="3"/>
        <v>2735.933929506808</v>
      </c>
      <c r="I30">
        <f t="shared" si="4"/>
        <v>2743.7332299930372</v>
      </c>
      <c r="J30">
        <f t="shared" si="5"/>
        <v>4509.3124218045705</v>
      </c>
    </row>
    <row r="31" spans="2:10" x14ac:dyDescent="0.25">
      <c r="C31">
        <v>53</v>
      </c>
      <c r="D31">
        <f>D30*(1-$C$8)</f>
        <v>32502.895082540879</v>
      </c>
      <c r="E31">
        <f>E30*(1-$C$8)</f>
        <v>32595.550772317285</v>
      </c>
      <c r="F31">
        <f>F30*(1-$C$8)</f>
        <v>53570.631571038299</v>
      </c>
      <c r="H31">
        <f t="shared" si="3"/>
        <v>2708.5745902117401</v>
      </c>
      <c r="I31">
        <f t="shared" si="4"/>
        <v>2716.2958976931072</v>
      </c>
      <c r="J31">
        <f t="shared" si="5"/>
        <v>4464.2192975865246</v>
      </c>
    </row>
    <row r="32" spans="2:10" x14ac:dyDescent="0.25">
      <c r="C32">
        <v>54</v>
      </c>
      <c r="D32">
        <f>D31*(1-$C$8)</f>
        <v>32177.866131715469</v>
      </c>
      <c r="E32">
        <f>E31*(1-$C$8)</f>
        <v>32269.595264594111</v>
      </c>
      <c r="F32">
        <f>F31*(1-$C$8)</f>
        <v>53034.925255327915</v>
      </c>
      <c r="H32">
        <f t="shared" si="3"/>
        <v>2681.4888443096224</v>
      </c>
      <c r="I32">
        <f t="shared" si="4"/>
        <v>2689.1329387161759</v>
      </c>
      <c r="J32">
        <f t="shared" si="5"/>
        <v>4419.5771046106593</v>
      </c>
    </row>
    <row r="33" spans="3:10" x14ac:dyDescent="0.25">
      <c r="C33">
        <v>55</v>
      </c>
      <c r="D33">
        <f>D32*(1-$C$8)</f>
        <v>31856.087470398314</v>
      </c>
      <c r="E33">
        <f>E32*(1-$C$8)</f>
        <v>31946.899311948167</v>
      </c>
      <c r="F33">
        <f>F32*(1-$C$8)</f>
        <v>52504.576002774636</v>
      </c>
      <c r="H33">
        <f t="shared" si="3"/>
        <v>2654.6739558665263</v>
      </c>
      <c r="I33">
        <f t="shared" si="4"/>
        <v>2662.241609329014</v>
      </c>
      <c r="J33">
        <f t="shared" si="5"/>
        <v>4375.3813335645527</v>
      </c>
    </row>
    <row r="34" spans="3:10" x14ac:dyDescent="0.25">
      <c r="C34">
        <v>56</v>
      </c>
      <c r="D34">
        <f>D33*(1-$C$8)</f>
        <v>31537.526595694329</v>
      </c>
      <c r="E34">
        <f>E33*(1-$C$8)</f>
        <v>31627.430318828687</v>
      </c>
      <c r="F34">
        <f>F33*(1-$C$8)</f>
        <v>51979.530242746892</v>
      </c>
      <c r="H34">
        <f t="shared" si="3"/>
        <v>2628.1272163078606</v>
      </c>
      <c r="I34">
        <f t="shared" si="4"/>
        <v>2635.6191932357237</v>
      </c>
      <c r="J34">
        <f t="shared" si="5"/>
        <v>4331.627520228908</v>
      </c>
    </row>
    <row r="35" spans="3:10" x14ac:dyDescent="0.25">
      <c r="C35">
        <v>57</v>
      </c>
      <c r="D35">
        <f>D34*(1-$C$8)</f>
        <v>31222.151329737386</v>
      </c>
      <c r="E35">
        <f>E34*(1-$C$8)</f>
        <v>31311.156015640401</v>
      </c>
      <c r="F35">
        <f>F34*(1-$C$8)</f>
        <v>51459.734940319424</v>
      </c>
      <c r="H35">
        <f t="shared" si="3"/>
        <v>2601.8459441447822</v>
      </c>
      <c r="I35">
        <f t="shared" si="4"/>
        <v>2609.2630013033668</v>
      </c>
      <c r="J35">
        <f t="shared" si="5"/>
        <v>4288.311245026619</v>
      </c>
    </row>
    <row r="36" spans="3:10" x14ac:dyDescent="0.25">
      <c r="C36">
        <v>58</v>
      </c>
      <c r="D36">
        <f>D35*(1-$C$8)</f>
        <v>30909.929816440013</v>
      </c>
      <c r="E36">
        <f>E35*(1-$C$8)</f>
        <v>30998.044455483996</v>
      </c>
      <c r="F36">
        <f>F35*(1-$C$8)</f>
        <v>50945.137590916231</v>
      </c>
      <c r="H36">
        <f t="shared" si="3"/>
        <v>2575.8274847033344</v>
      </c>
      <c r="I36">
        <f t="shared" si="4"/>
        <v>2583.1703712903332</v>
      </c>
      <c r="J36">
        <f t="shared" si="5"/>
        <v>4245.4281325763523</v>
      </c>
    </row>
    <row r="37" spans="3:10" x14ac:dyDescent="0.25">
      <c r="C37">
        <v>59</v>
      </c>
      <c r="D37">
        <f>D36*(1-$C$8)</f>
        <v>30600.830518275612</v>
      </c>
      <c r="E37">
        <f>E36*(1-$C$8)</f>
        <v>30688.064010929156</v>
      </c>
      <c r="F37">
        <f>F36*(1-$C$8)</f>
        <v>50435.686215007066</v>
      </c>
      <c r="H37">
        <f t="shared" si="3"/>
        <v>2550.0692098563009</v>
      </c>
      <c r="I37">
        <f t="shared" si="4"/>
        <v>2557.3386675774295</v>
      </c>
      <c r="J37">
        <f t="shared" si="5"/>
        <v>4202.9738512505892</v>
      </c>
    </row>
    <row r="38" spans="3:10" x14ac:dyDescent="0.25">
      <c r="C38">
        <v>60</v>
      </c>
      <c r="D38">
        <f>D37*(1-$C$8)</f>
        <v>30294.822213092855</v>
      </c>
      <c r="E38">
        <f>E37*(1-$C$8)</f>
        <v>30381.183370819865</v>
      </c>
      <c r="F38">
        <f>F37*(1-$C$8)</f>
        <v>49931.329352856992</v>
      </c>
      <c r="H38">
        <f t="shared" si="3"/>
        <v>2524.5685177577379</v>
      </c>
      <c r="I38">
        <f t="shared" si="4"/>
        <v>2531.7652809016554</v>
      </c>
      <c r="J38">
        <f t="shared" si="5"/>
        <v>4160.9441127380824</v>
      </c>
    </row>
    <row r="39" spans="3:10" x14ac:dyDescent="0.25">
      <c r="C39">
        <v>61</v>
      </c>
      <c r="D39">
        <f>D38*(1-$C$8)</f>
        <v>29991.873990961925</v>
      </c>
      <c r="E39">
        <f>E38*(1-$C$8)</f>
        <v>30077.371537111667</v>
      </c>
      <c r="F39">
        <f>F38*(1-$C$8)</f>
        <v>49432.016059328424</v>
      </c>
      <c r="H39">
        <f t="shared" si="3"/>
        <v>2499.3228325801606</v>
      </c>
      <c r="I39">
        <f t="shared" si="4"/>
        <v>2506.4476280926388</v>
      </c>
      <c r="J39">
        <f t="shared" si="5"/>
        <v>4119.3346716107017</v>
      </c>
    </row>
    <row r="40" spans="3:10" x14ac:dyDescent="0.25">
      <c r="C40">
        <v>62</v>
      </c>
      <c r="D40">
        <f>D39*(1-$C$8)</f>
        <v>29691.955251052306</v>
      </c>
      <c r="E40">
        <f>E39*(1-$C$8)</f>
        <v>29776.59782174055</v>
      </c>
      <c r="F40">
        <f>F39*(1-$C$8)</f>
        <v>48937.695898735139</v>
      </c>
      <c r="H40">
        <f t="shared" si="3"/>
        <v>2474.3296042543589</v>
      </c>
      <c r="I40">
        <f t="shared" si="4"/>
        <v>2481.3831518117127</v>
      </c>
      <c r="J40">
        <f t="shared" si="5"/>
        <v>4078.1413248945951</v>
      </c>
    </row>
    <row r="41" spans="3:10" x14ac:dyDescent="0.25">
      <c r="C41">
        <v>63</v>
      </c>
      <c r="D41">
        <f>D40*(1-$C$8)</f>
        <v>29395.035698541782</v>
      </c>
      <c r="E41">
        <f>E40*(1-$C$8)</f>
        <v>29478.831843523145</v>
      </c>
      <c r="F41">
        <f>F40*(1-$C$8)</f>
        <v>48448.318939747791</v>
      </c>
      <c r="H41">
        <f t="shared" si="3"/>
        <v>2449.5863082118153</v>
      </c>
      <c r="I41">
        <f t="shared" si="4"/>
        <v>2456.5693202935954</v>
      </c>
      <c r="J41">
        <f t="shared" si="5"/>
        <v>4037.3599116456494</v>
      </c>
    </row>
    <row r="42" spans="3:10" x14ac:dyDescent="0.25">
      <c r="C42">
        <v>64</v>
      </c>
      <c r="D42">
        <f>D41*(1-$C$8)</f>
        <v>29101.085341556365</v>
      </c>
      <c r="E42">
        <f>E41*(1-$C$8)</f>
        <v>29184.043525087913</v>
      </c>
      <c r="F42">
        <f>F41*(1-$C$8)</f>
        <v>47963.835750350314</v>
      </c>
      <c r="G42" s="2"/>
      <c r="H42">
        <f t="shared" si="3"/>
        <v>2425.0904451296969</v>
      </c>
      <c r="I42">
        <f t="shared" si="4"/>
        <v>2432.0036270906594</v>
      </c>
      <c r="J42">
        <f t="shared" si="5"/>
        <v>3996.9863125291927</v>
      </c>
    </row>
    <row r="43" spans="3:10" x14ac:dyDescent="0.25">
      <c r="C43">
        <v>65</v>
      </c>
      <c r="D43">
        <f>D42*(1-$C$8)</f>
        <v>28810.074488140803</v>
      </c>
      <c r="E43">
        <f>E42*(1-$C$8)</f>
        <v>28892.203089837032</v>
      </c>
      <c r="F43">
        <f>F42*(1-$C$8)</f>
        <v>47484.197392846807</v>
      </c>
      <c r="H43">
        <f t="shared" si="3"/>
        <v>2400.8395406784002</v>
      </c>
      <c r="I43">
        <f t="shared" si="4"/>
        <v>2407.6835908197527</v>
      </c>
      <c r="J43">
        <f t="shared" si="5"/>
        <v>3957.0164494039004</v>
      </c>
    </row>
    <row r="44" spans="3:10" x14ac:dyDescent="0.25">
      <c r="C44">
        <v>66</v>
      </c>
      <c r="D44">
        <f>D43*(1-$C$8)</f>
        <v>28521.973743259394</v>
      </c>
      <c r="E44">
        <f>E43*(1-$C$8)</f>
        <v>28603.281058938661</v>
      </c>
      <c r="F44">
        <f>F43*(1-$C$8)</f>
        <v>47009.355418918341</v>
      </c>
      <c r="H44">
        <f t="shared" si="3"/>
        <v>2376.8311452716162</v>
      </c>
      <c r="I44">
        <f t="shared" si="4"/>
        <v>2383.6067549115551</v>
      </c>
      <c r="J44">
        <f t="shared" si="5"/>
        <v>3917.4462849098618</v>
      </c>
    </row>
    <row r="45" spans="3:10" x14ac:dyDescent="0.25">
      <c r="C45">
        <v>67</v>
      </c>
      <c r="D45">
        <f>D44*(1-$C$8)</f>
        <v>28236.754005826799</v>
      </c>
      <c r="E45">
        <f>E44*(1-$C$8)</f>
        <v>28317.248248349275</v>
      </c>
      <c r="F45">
        <f>F44*(1-$C$8)</f>
        <v>46539.26186472916</v>
      </c>
      <c r="H45">
        <f t="shared" si="3"/>
        <v>2353.0628338188999</v>
      </c>
      <c r="I45">
        <f t="shared" si="4"/>
        <v>2359.7706873624397</v>
      </c>
      <c r="J45">
        <f t="shared" si="5"/>
        <v>3878.2718220607635</v>
      </c>
    </row>
    <row r="46" spans="3:10" x14ac:dyDescent="0.25">
      <c r="C46">
        <v>68</v>
      </c>
      <c r="D46">
        <f>D45*(1-$C$8)</f>
        <v>27954.38646576853</v>
      </c>
      <c r="E46">
        <f>E45*(1-$C$8)</f>
        <v>28034.075765865782</v>
      </c>
      <c r="F46">
        <f>F45*(1-$C$8)</f>
        <v>46073.869246081871</v>
      </c>
      <c r="H46">
        <f t="shared" si="3"/>
        <v>2329.5322054807107</v>
      </c>
      <c r="I46">
        <f t="shared" si="4"/>
        <v>2336.172980488815</v>
      </c>
      <c r="J46">
        <f t="shared" si="5"/>
        <v>3839.4891038401561</v>
      </c>
    </row>
    <row r="47" spans="3:10" x14ac:dyDescent="0.25">
      <c r="C47">
        <v>69</v>
      </c>
      <c r="D47">
        <f>D46*(1-$C$8)</f>
        <v>27674.842601110846</v>
      </c>
      <c r="E47">
        <f>E46*(1-$C$8)</f>
        <v>27753.735008207124</v>
      </c>
      <c r="F47">
        <f>F46*(1-$C$8)</f>
        <v>45613.130553621049</v>
      </c>
      <c r="H47">
        <f t="shared" si="3"/>
        <v>2306.2368834259037</v>
      </c>
      <c r="I47">
        <f t="shared" si="4"/>
        <v>2312.811250683927</v>
      </c>
      <c r="J47">
        <f t="shared" si="5"/>
        <v>3801.0942128017541</v>
      </c>
    </row>
    <row r="48" spans="3:10" x14ac:dyDescent="0.25">
      <c r="C48">
        <v>70</v>
      </c>
      <c r="D48">
        <f>D47*(1-$C$8)</f>
        <v>27398.094175099737</v>
      </c>
      <c r="E48">
        <f>E47*(1-$C$8)</f>
        <v>27476.197658125053</v>
      </c>
      <c r="F48">
        <f>F47*(1-$C$8)</f>
        <v>45156.999248084838</v>
      </c>
      <c r="H48">
        <f t="shared" si="3"/>
        <v>2283.1745145916448</v>
      </c>
      <c r="I48">
        <f t="shared" si="4"/>
        <v>2289.6831381770876</v>
      </c>
      <c r="J48">
        <f t="shared" si="5"/>
        <v>3763.0832706737365</v>
      </c>
    </row>
    <row r="49" spans="3:10" x14ac:dyDescent="0.25">
      <c r="C49">
        <v>71</v>
      </c>
      <c r="D49">
        <f>D48*(1-$C$8)</f>
        <v>27124.11323334874</v>
      </c>
      <c r="E49">
        <f>E48*(1-$C$8)</f>
        <v>27201.4356815438</v>
      </c>
      <c r="F49">
        <f>F48*(1-$C$8)</f>
        <v>44705.429255603987</v>
      </c>
      <c r="H49">
        <f t="shared" si="3"/>
        <v>2260.3427694457282</v>
      </c>
      <c r="I49">
        <f t="shared" si="4"/>
        <v>2266.7863067953167</v>
      </c>
      <c r="J49">
        <f t="shared" si="5"/>
        <v>3725.4524379669988</v>
      </c>
    </row>
    <row r="50" spans="3:10" x14ac:dyDescent="0.25">
      <c r="C50">
        <v>72</v>
      </c>
      <c r="D50">
        <f>D49*(1-$C$8)</f>
        <v>26852.872101015251</v>
      </c>
      <c r="E50">
        <f>E49*(1-$C$8)</f>
        <v>26929.421324728362</v>
      </c>
      <c r="F50">
        <f>F49*(1-$C$8)</f>
        <v>44258.374963047951</v>
      </c>
      <c r="H50">
        <f t="shared" si="3"/>
        <v>2237.7393417512708</v>
      </c>
      <c r="I50">
        <f t="shared" si="4"/>
        <v>2244.1184437273637</v>
      </c>
      <c r="J50">
        <f t="shared" si="5"/>
        <v>3688.1979135873294</v>
      </c>
    </row>
    <row r="51" spans="3:10" x14ac:dyDescent="0.25">
      <c r="C51">
        <v>73</v>
      </c>
      <c r="D51">
        <f>D50*(1-$C$8)</f>
        <v>26584.343380005099</v>
      </c>
      <c r="E51">
        <f>E50*(1-$C$8)</f>
        <v>26660.127111481077</v>
      </c>
      <c r="F51">
        <f>F50*(1-$C$8)</f>
        <v>43815.791213417469</v>
      </c>
      <c r="H51">
        <f t="shared" si="3"/>
        <v>2215.3619483337584</v>
      </c>
      <c r="I51">
        <f t="shared" si="4"/>
        <v>2221.6772592900898</v>
      </c>
      <c r="J51">
        <f t="shared" si="5"/>
        <v>3651.3159344514556</v>
      </c>
    </row>
    <row r="52" spans="3:10" x14ac:dyDescent="0.25">
      <c r="C52">
        <v>74</v>
      </c>
      <c r="D52">
        <f>D51*(1-$C$8)</f>
        <v>26318.499946205047</v>
      </c>
      <c r="E52">
        <f>E51*(1-$C$8)</f>
        <v>26393.525840366266</v>
      </c>
      <c r="F52">
        <f>F51*(1-$C$8)</f>
        <v>43377.633301283291</v>
      </c>
      <c r="H52">
        <f t="shared" si="3"/>
        <v>2193.2083288504205</v>
      </c>
      <c r="I52">
        <f t="shared" si="4"/>
        <v>2199.460486697189</v>
      </c>
      <c r="J52">
        <f t="shared" si="5"/>
        <v>3614.8027751069408</v>
      </c>
    </row>
    <row r="53" spans="3:10" x14ac:dyDescent="0.25">
      <c r="C53">
        <v>75</v>
      </c>
      <c r="D53">
        <f>D52*(1-$C$8)</f>
        <v>26055.314946742998</v>
      </c>
      <c r="E53">
        <f>E52*(1-$C$8)</f>
        <v>26129.590581962602</v>
      </c>
      <c r="F53">
        <f>F52*(1-$C$8)</f>
        <v>42943.856968270455</v>
      </c>
      <c r="H53">
        <f t="shared" si="3"/>
        <v>2171.2762455619163</v>
      </c>
      <c r="I53">
        <f t="shared" si="4"/>
        <v>2177.4658818302169</v>
      </c>
      <c r="J53">
        <f t="shared" si="5"/>
        <v>3578.6547473558712</v>
      </c>
    </row>
    <row r="54" spans="3:10" x14ac:dyDescent="0.25">
      <c r="C54">
        <v>76</v>
      </c>
      <c r="D54">
        <f>D53*(1-$C$8)</f>
        <v>25794.761797275569</v>
      </c>
      <c r="E54">
        <f>E53*(1-$C$8)</f>
        <v>25868.294676142978</v>
      </c>
      <c r="F54">
        <f>F53*(1-$C$8)</f>
        <v>42514.418398587746</v>
      </c>
      <c r="H54">
        <f t="shared" si="3"/>
        <v>2149.5634831062976</v>
      </c>
      <c r="I54">
        <f t="shared" si="4"/>
        <v>2155.6912230119146</v>
      </c>
      <c r="J54">
        <f t="shared" si="5"/>
        <v>3542.8681998823122</v>
      </c>
    </row>
    <row r="55" spans="3:10" x14ac:dyDescent="0.25">
      <c r="C55">
        <v>77</v>
      </c>
      <c r="D55">
        <f>D54*(1-$C$8)</f>
        <v>25536.814179302812</v>
      </c>
      <c r="E55">
        <f>E54*(1-$C$8)</f>
        <v>25609.611729381548</v>
      </c>
      <c r="F55">
        <f>F54*(1-$C$8)</f>
        <v>42089.274214601872</v>
      </c>
      <c r="H55">
        <f t="shared" si="3"/>
        <v>2128.0678482752342</v>
      </c>
      <c r="I55">
        <f t="shared" si="4"/>
        <v>2134.1343107817956</v>
      </c>
      <c r="J55">
        <f t="shared" si="5"/>
        <v>3507.4395178834893</v>
      </c>
    </row>
    <row r="56" spans="3:10" x14ac:dyDescent="0.25">
      <c r="C56">
        <v>78</v>
      </c>
      <c r="D56">
        <f>D55*(1-$C$8)</f>
        <v>25281.446037509784</v>
      </c>
      <c r="E56">
        <f>E55*(1-$C$8)</f>
        <v>25353.515612087733</v>
      </c>
      <c r="F56">
        <f>F55*(1-$C$8)</f>
        <v>41668.381472455854</v>
      </c>
      <c r="H56">
        <f t="shared" si="3"/>
        <v>2106.787169792482</v>
      </c>
      <c r="I56">
        <f t="shared" si="4"/>
        <v>2112.7929676739777</v>
      </c>
      <c r="J56">
        <f t="shared" si="5"/>
        <v>3472.3651227046544</v>
      </c>
    </row>
    <row r="57" spans="3:10" x14ac:dyDescent="0.25">
      <c r="C57">
        <v>79</v>
      </c>
      <c r="D57">
        <f>D56*(1-$C$8)</f>
        <v>25028.631577134685</v>
      </c>
      <c r="E57">
        <f>E56*(1-$C$8)</f>
        <v>25099.980455966856</v>
      </c>
      <c r="F57">
        <f>F56*(1-$C$8)</f>
        <v>41251.697657731296</v>
      </c>
      <c r="H57">
        <f t="shared" si="3"/>
        <v>2085.719298094557</v>
      </c>
      <c r="I57">
        <f t="shared" si="4"/>
        <v>2091.665037997238</v>
      </c>
      <c r="J57">
        <f t="shared" si="5"/>
        <v>3437.6414714776079</v>
      </c>
    </row>
    <row r="58" spans="3:10" x14ac:dyDescent="0.25">
      <c r="C58">
        <v>80</v>
      </c>
      <c r="D58">
        <f>D57*(1-$C$8)</f>
        <v>24778.345261363338</v>
      </c>
      <c r="E58">
        <f>E57*(1-$C$8)</f>
        <v>24848.980651407186</v>
      </c>
      <c r="F58">
        <f>F57*(1-$C$8)</f>
        <v>40839.180681153986</v>
      </c>
      <c r="H58">
        <f t="shared" si="3"/>
        <v>2064.8621051136115</v>
      </c>
      <c r="I58">
        <f t="shared" si="4"/>
        <v>2070.7483876172655</v>
      </c>
      <c r="J58">
        <f t="shared" si="5"/>
        <v>3403.265056762832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Tabelle2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Graf Martin</dc:creator>
  <cp:lastModifiedBy>Graf Martin</cp:lastModifiedBy>
  <dcterms:created xsi:type="dcterms:W3CDTF">2026-02-21T07:34:17Z</dcterms:created>
  <dcterms:modified xsi:type="dcterms:W3CDTF">2026-02-21T20:26:29Z</dcterms:modified>
</cp:coreProperties>
</file>